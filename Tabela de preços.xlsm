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60" windowWidth="20115" windowHeight="8010"/>
  </bookViews>
  <sheets>
    <sheet name="Pedido de Compra" sheetId="5" r:id="rId1"/>
    <sheet name="Compra insumos" sheetId="4" r:id="rId2"/>
    <sheet name="Insumos" sheetId="1" state="hidden" r:id="rId3"/>
    <sheet name="Produtos" sheetId="2" state="hidden" r:id="rId4"/>
    <sheet name="Cadastro Cliente" sheetId="6" r:id="rId5"/>
    <sheet name="Cadastro Pedido Cliente" sheetId="7" r:id="rId6"/>
    <sheet name="Pedido Clientes" sheetId="3" r:id="rId7"/>
  </sheets>
  <definedNames>
    <definedName name="_xlnm._FilterDatabase" localSheetId="2" hidden="1">Insumos!$A$1:$F$1</definedName>
  </definedNames>
  <calcPr calcId="144525"/>
</workbook>
</file>

<file path=xl/calcChain.xml><?xml version="1.0" encoding="utf-8"?>
<calcChain xmlns="http://schemas.openxmlformats.org/spreadsheetml/2006/main">
  <c r="K1" i="6" l="1"/>
  <c r="L2" i="6" s="1"/>
  <c r="M2" i="6" l="1"/>
  <c r="J5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3" i="7"/>
  <c r="AA1" i="6"/>
  <c r="J20" i="7" l="1"/>
  <c r="J7" i="5"/>
  <c r="J6" i="5"/>
  <c r="J5" i="5"/>
  <c r="H5" i="2"/>
  <c r="H4" i="2"/>
  <c r="H3" i="2"/>
  <c r="J13" i="5" l="1"/>
  <c r="J14" i="5"/>
  <c r="J15" i="5"/>
  <c r="J16" i="5"/>
  <c r="J8" i="5"/>
  <c r="J9" i="5"/>
  <c r="J10" i="5"/>
  <c r="J11" i="5"/>
  <c r="J12" i="5"/>
  <c r="J17" i="5"/>
  <c r="J18" i="5"/>
  <c r="J19" i="5"/>
  <c r="J20" i="5" l="1"/>
  <c r="J3" i="5"/>
</calcChain>
</file>

<file path=xl/sharedStrings.xml><?xml version="1.0" encoding="utf-8"?>
<sst xmlns="http://schemas.openxmlformats.org/spreadsheetml/2006/main" count="127" uniqueCount="81">
  <si>
    <t>Cento</t>
  </si>
  <si>
    <t>Brigadeiro</t>
  </si>
  <si>
    <t>Beijinho</t>
  </si>
  <si>
    <t>Ninho</t>
  </si>
  <si>
    <t>Churros</t>
  </si>
  <si>
    <t>Brigadeiro uva</t>
  </si>
  <si>
    <t>Ninho com Nutella</t>
  </si>
  <si>
    <t>Valor</t>
  </si>
  <si>
    <t>Misto</t>
  </si>
  <si>
    <t>Brigadeiro Branco</t>
  </si>
  <si>
    <t>Tortas</t>
  </si>
  <si>
    <t>Mousse de inhá benta</t>
  </si>
  <si>
    <t>Banofe</t>
  </si>
  <si>
    <t>Torta de limão 1,2l</t>
  </si>
  <si>
    <t>Torta de limão 2,2l</t>
  </si>
  <si>
    <t>Product ID</t>
  </si>
  <si>
    <t>Product</t>
  </si>
  <si>
    <t>Group</t>
  </si>
  <si>
    <t>Supplier</t>
  </si>
  <si>
    <t>Unit Cost</t>
  </si>
  <si>
    <t>Leite Condensado</t>
  </si>
  <si>
    <t>Manteiga</t>
  </si>
  <si>
    <t>Barra chocolate</t>
  </si>
  <si>
    <t>Barra chocolate branco</t>
  </si>
  <si>
    <t>Açucar</t>
  </si>
  <si>
    <t>Creme de leite</t>
  </si>
  <si>
    <t>Limão</t>
  </si>
  <si>
    <t>Chantilly</t>
  </si>
  <si>
    <t>Uva</t>
  </si>
  <si>
    <t>Nutella</t>
  </si>
  <si>
    <t>Kinder Bueno</t>
  </si>
  <si>
    <t>Ovo</t>
  </si>
  <si>
    <t>Leite</t>
  </si>
  <si>
    <t>Cacau</t>
  </si>
  <si>
    <t>Glucose</t>
  </si>
  <si>
    <t>Bolacha Oreo</t>
  </si>
  <si>
    <t>Chocolate em pó</t>
  </si>
  <si>
    <t>Coco ralado</t>
  </si>
  <si>
    <t>Leite ninho</t>
  </si>
  <si>
    <t>Banana</t>
  </si>
  <si>
    <t>Canela em pó</t>
  </si>
  <si>
    <t>Fruta</t>
  </si>
  <si>
    <t>Doce de leite</t>
  </si>
  <si>
    <t>Especiaria</t>
  </si>
  <si>
    <t>Bolacha Maizena</t>
  </si>
  <si>
    <t>Bolacha</t>
  </si>
  <si>
    <t>Animal</t>
  </si>
  <si>
    <t>Adesivo logo</t>
  </si>
  <si>
    <t>Sacola de mão</t>
  </si>
  <si>
    <t>Sacola de chocolate</t>
  </si>
  <si>
    <t>Caixa de brigadeiro</t>
  </si>
  <si>
    <t>miscelanea</t>
  </si>
  <si>
    <t>Importancia</t>
  </si>
  <si>
    <t>Valor Total</t>
  </si>
  <si>
    <t>PEDIDO DE COMPRA</t>
  </si>
  <si>
    <t>Data:</t>
  </si>
  <si>
    <t>Descrição do produto</t>
  </si>
  <si>
    <t>Qtde.</t>
  </si>
  <si>
    <t>Valor Total da Compra:</t>
  </si>
  <si>
    <t>Puro Docinho</t>
  </si>
  <si>
    <t>ID Cliente</t>
  </si>
  <si>
    <t>Nome Cliente</t>
  </si>
  <si>
    <t>Idade</t>
  </si>
  <si>
    <t>Endereço</t>
  </si>
  <si>
    <t>Numero</t>
  </si>
  <si>
    <t>Data</t>
  </si>
  <si>
    <t>Pedido</t>
  </si>
  <si>
    <t>Telefone</t>
  </si>
  <si>
    <t>Sexo</t>
  </si>
  <si>
    <t>Estabelecimento</t>
  </si>
  <si>
    <t>Qtde</t>
  </si>
  <si>
    <t>Produto</t>
  </si>
  <si>
    <t>Valor Unitário</t>
  </si>
  <si>
    <t>Vinicius Lima Ferreira</t>
  </si>
  <si>
    <t>Masculino</t>
  </si>
  <si>
    <t>treze de dezembro</t>
  </si>
  <si>
    <t>CADASTRO PEDIDO DO CLIENTE</t>
  </si>
  <si>
    <t>Cliente</t>
  </si>
  <si>
    <t>barra oreo</t>
  </si>
  <si>
    <t>barra ninho nutella</t>
  </si>
  <si>
    <t>Data Nascimento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</si>
</sst>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rgb="FF66330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6"/>
      <color rgb="FF6633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0A010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CC99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33CCCC"/>
        <bgColor theme="5"/>
      </patternFill>
    </fill>
    <fill>
      <patternFill patternType="solid">
        <fgColor rgb="FF663300"/>
        <bgColor theme="5"/>
      </patternFill>
    </fill>
    <fill>
      <patternFill patternType="solid">
        <fgColor rgb="FF99CCFF"/>
        <bgColor indexed="64"/>
      </patternFill>
    </fill>
  </fills>
  <borders count="28">
    <border>
      <left/>
      <right/>
      <top/>
      <bottom/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4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8">
    <xf numFmtId="0" fontId="0" fillId="0" borderId="0" xfId="0"/>
    <xf numFmtId="44" fontId="0" fillId="0" borderId="0" xfId="1" applyFont="1"/>
    <xf numFmtId="0" fontId="0" fillId="0" borderId="0" xfId="0" applyAlignment="1">
      <alignment horizontal="center" vertical="center"/>
    </xf>
    <xf numFmtId="0" fontId="0" fillId="0" borderId="7" xfId="0" applyBorder="1"/>
    <xf numFmtId="0" fontId="0" fillId="0" borderId="9" xfId="0" applyBorder="1"/>
    <xf numFmtId="0" fontId="0" fillId="0" borderId="10" xfId="0" applyBorder="1"/>
    <xf numFmtId="164" fontId="0" fillId="0" borderId="9" xfId="0" applyNumberFormat="1" applyBorder="1"/>
    <xf numFmtId="164" fontId="0" fillId="0" borderId="7" xfId="0" applyNumberFormat="1" applyBorder="1"/>
    <xf numFmtId="164" fontId="0" fillId="0" borderId="10" xfId="0" applyNumberFormat="1" applyBorder="1"/>
    <xf numFmtId="164" fontId="0" fillId="0" borderId="4" xfId="0" applyNumberFormat="1" applyBorder="1"/>
    <xf numFmtId="0" fontId="0" fillId="0" borderId="12" xfId="0" applyBorder="1" applyAlignment="1"/>
    <xf numFmtId="0" fontId="0" fillId="0" borderId="13" xfId="0" applyBorder="1" applyAlignment="1"/>
    <xf numFmtId="0" fontId="0" fillId="0" borderId="15" xfId="0" applyBorder="1" applyAlignment="1"/>
    <xf numFmtId="0" fontId="0" fillId="0" borderId="16" xfId="0" applyBorder="1" applyAlignment="1"/>
    <xf numFmtId="0" fontId="0" fillId="0" borderId="0" xfId="0" applyBorder="1" applyAlignment="1"/>
    <xf numFmtId="0" fontId="5" fillId="0" borderId="5" xfId="0" applyFont="1" applyBorder="1" applyAlignment="1"/>
    <xf numFmtId="0" fontId="5" fillId="0" borderId="8" xfId="0" applyFont="1" applyBorder="1" applyAlignment="1"/>
    <xf numFmtId="0" fontId="5" fillId="0" borderId="6" xfId="0" applyFont="1" applyBorder="1" applyAlignment="1"/>
    <xf numFmtId="0" fontId="5" fillId="0" borderId="4" xfId="0" applyFont="1" applyBorder="1"/>
    <xf numFmtId="0" fontId="5" fillId="0" borderId="4" xfId="0" applyFont="1" applyBorder="1" applyAlignment="1">
      <alignment horizontal="center" vertical="center"/>
    </xf>
    <xf numFmtId="0" fontId="0" fillId="0" borderId="11" xfId="0" applyFont="1" applyBorder="1" applyAlignment="1"/>
    <xf numFmtId="0" fontId="0" fillId="0" borderId="14" xfId="0" applyFont="1" applyBorder="1" applyAlignment="1"/>
    <xf numFmtId="0" fontId="0" fillId="0" borderId="7" xfId="0" applyFont="1" applyBorder="1" applyAlignmen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6" fillId="2" borderId="0" xfId="0" applyFont="1" applyFill="1" applyAlignment="1">
      <alignment vertical="center"/>
    </xf>
    <xf numFmtId="0" fontId="8" fillId="4" borderId="2" xfId="0" applyFont="1" applyFill="1" applyBorder="1" applyAlignment="1">
      <alignment horizontal="center" vertical="center"/>
    </xf>
    <xf numFmtId="0" fontId="2" fillId="4" borderId="1" xfId="0" applyFont="1" applyFill="1" applyBorder="1"/>
    <xf numFmtId="0" fontId="2" fillId="4" borderId="2" xfId="0" applyFont="1" applyFill="1" applyBorder="1"/>
    <xf numFmtId="0" fontId="3" fillId="4" borderId="2" xfId="0" applyFont="1" applyFill="1" applyBorder="1"/>
    <xf numFmtId="0" fontId="2" fillId="4" borderId="3" xfId="0" applyFont="1" applyFill="1" applyBorder="1"/>
    <xf numFmtId="0" fontId="0" fillId="0" borderId="24" xfId="0" applyBorder="1"/>
    <xf numFmtId="0" fontId="0" fillId="0" borderId="6" xfId="0" applyBorder="1" applyAlignment="1">
      <alignment horizontal="right"/>
    </xf>
    <xf numFmtId="14" fontId="0" fillId="0" borderId="4" xfId="0" applyNumberFormat="1" applyBorder="1" applyAlignment="1"/>
    <xf numFmtId="0" fontId="4" fillId="0" borderId="17" xfId="0" applyFont="1" applyBorder="1" applyAlignment="1">
      <alignment horizontal="right"/>
    </xf>
    <xf numFmtId="0" fontId="9" fillId="3" borderId="5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2" fillId="4" borderId="25" xfId="0" applyFont="1" applyFill="1" applyBorder="1"/>
    <xf numFmtId="14" fontId="2" fillId="4" borderId="26" xfId="0" applyNumberFormat="1" applyFont="1" applyFill="1" applyBorder="1"/>
    <xf numFmtId="0" fontId="2" fillId="4" borderId="26" xfId="0" applyFont="1" applyFill="1" applyBorder="1"/>
    <xf numFmtId="0" fontId="2" fillId="4" borderId="27" xfId="0" applyFont="1" applyFill="1" applyBorder="1"/>
    <xf numFmtId="0" fontId="10" fillId="0" borderId="0" xfId="0" applyFont="1"/>
    <xf numFmtId="14" fontId="10" fillId="0" borderId="0" xfId="0" applyNumberFormat="1" applyFont="1"/>
    <xf numFmtId="164" fontId="10" fillId="0" borderId="0" xfId="0" applyNumberFormat="1" applyFont="1"/>
    <xf numFmtId="0" fontId="11" fillId="4" borderId="2" xfId="0" applyFont="1" applyFill="1" applyBorder="1" applyAlignment="1">
      <alignment horizontal="center" vertical="center"/>
    </xf>
    <xf numFmtId="14" fontId="11" fillId="4" borderId="2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0" fillId="0" borderId="24" xfId="0" applyNumberFormat="1" applyBorder="1"/>
    <xf numFmtId="0" fontId="11" fillId="5" borderId="2" xfId="0" applyFont="1" applyFill="1" applyBorder="1" applyAlignment="1">
      <alignment horizontal="center" vertical="center"/>
    </xf>
    <xf numFmtId="164" fontId="11" fillId="5" borderId="2" xfId="0" applyNumberFormat="1" applyFont="1" applyFill="1" applyBorder="1" applyAlignment="1">
      <alignment horizontal="center" vertical="center"/>
    </xf>
    <xf numFmtId="14" fontId="11" fillId="5" borderId="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0" fontId="6" fillId="3" borderId="20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2" fontId="0" fillId="0" borderId="0" xfId="0" applyNumberFormat="1"/>
    <xf numFmtId="0" fontId="13" fillId="0" borderId="0" xfId="0" applyFont="1"/>
  </cellXfs>
  <cellStyles count="2">
    <cellStyle name="Moeda" xfId="1" builtinId="4"/>
    <cellStyle name="Normal" xfId="0" builtinId="0"/>
  </cellStyles>
  <dxfs count="42">
    <dxf>
      <font>
        <color rgb="FF00B0F0"/>
      </font>
      <fill>
        <patternFill>
          <bgColor rgb="FFFFFF00"/>
        </patternFill>
      </fill>
    </dxf>
    <dxf>
      <font>
        <color rgb="FF663300"/>
      </font>
      <fill>
        <patternFill>
          <bgColor rgb="FFFFFF00"/>
        </patternFill>
      </fill>
    </dxf>
    <dxf>
      <font>
        <color rgb="FF00B0F0"/>
      </font>
      <fill>
        <patternFill>
          <bgColor rgb="FFFFFF00"/>
        </patternFill>
      </fill>
    </dxf>
    <dxf>
      <font>
        <color rgb="FF00B0F0"/>
      </font>
      <fill>
        <patternFill>
          <bgColor rgb="FFFFFF00"/>
        </patternFill>
      </fill>
    </dxf>
    <dxf>
      <font>
        <color rgb="FF00B0F0"/>
      </font>
      <fill>
        <patternFill>
          <bgColor rgb="FFFFFF00"/>
        </patternFill>
      </fill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theme="5"/>
          <bgColor rgb="FF663300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5"/>
          <bgColor rgb="FF33CCCC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theme="5" tint="0.39997558519241921"/>
        </top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theme="5"/>
          <bgColor rgb="FF33CCCC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63300"/>
      <color rgb="FF99CCFF"/>
      <color rgb="FF33CCCC"/>
      <color rgb="FF00CCFF"/>
      <color rgb="FF009999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2</xdr:row>
          <xdr:rowOff>76200</xdr:rowOff>
        </xdr:from>
        <xdr:to>
          <xdr:col>15</xdr:col>
          <xdr:colOff>66675</xdr:colOff>
          <xdr:row>4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compra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0</xdr:row>
      <xdr:rowOff>0</xdr:rowOff>
    </xdr:from>
    <xdr:to>
      <xdr:col>10</xdr:col>
      <xdr:colOff>9525</xdr:colOff>
      <xdr:row>1</xdr:row>
      <xdr:rowOff>400050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314325"/>
          <a:ext cx="1247775" cy="790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9526</xdr:colOff>
      <xdr:row>0</xdr:row>
      <xdr:rowOff>0</xdr:rowOff>
    </xdr:from>
    <xdr:to>
      <xdr:col>7</xdr:col>
      <xdr:colOff>746164</xdr:colOff>
      <xdr:row>0</xdr:row>
      <xdr:rowOff>466724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9151" y="0"/>
          <a:ext cx="736638" cy="4667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47625</xdr:rowOff>
        </xdr:from>
        <xdr:to>
          <xdr:col>14</xdr:col>
          <xdr:colOff>638175</xdr:colOff>
          <xdr:row>0</xdr:row>
          <xdr:rowOff>504825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Cliente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9525</xdr:colOff>
      <xdr:row>0</xdr:row>
      <xdr:rowOff>9525</xdr:rowOff>
    </xdr:from>
    <xdr:to>
      <xdr:col>10</xdr:col>
      <xdr:colOff>6197</xdr:colOff>
      <xdr:row>0</xdr:row>
      <xdr:rowOff>514349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7775" y="9525"/>
          <a:ext cx="796772" cy="5048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2</xdr:row>
          <xdr:rowOff>76200</xdr:rowOff>
        </xdr:from>
        <xdr:to>
          <xdr:col>15</xdr:col>
          <xdr:colOff>66675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compra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0</xdr:row>
      <xdr:rowOff>0</xdr:rowOff>
    </xdr:from>
    <xdr:to>
      <xdr:col>10</xdr:col>
      <xdr:colOff>9525</xdr:colOff>
      <xdr:row>1</xdr:row>
      <xdr:rowOff>400050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0"/>
          <a:ext cx="1247775" cy="7905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0</xdr:row>
      <xdr:rowOff>9525</xdr:rowOff>
    </xdr:from>
    <xdr:to>
      <xdr:col>8</xdr:col>
      <xdr:colOff>146088</xdr:colOff>
      <xdr:row>0</xdr:row>
      <xdr:rowOff>476249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025" y="9525"/>
          <a:ext cx="736638" cy="4667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ela3" displayName="Tabela3" ref="A1:G2" insertRow="1" headerRowDxfId="41" dataDxfId="39" headerRowBorderDxfId="40" tableBorderDxfId="38">
  <autoFilter ref="A1:G2"/>
  <tableColumns count="7">
    <tableColumn id="2" name="Product ID" totalsRowLabel="Total" dataDxfId="37" totalsRowDxfId="36"/>
    <tableColumn id="1" name="Data" dataDxfId="35" totalsRowDxfId="34"/>
    <tableColumn id="3" name="Produto" dataDxfId="33" totalsRowDxfId="32"/>
    <tableColumn id="4" name="Qtde" dataDxfId="31" totalsRowDxfId="30"/>
    <tableColumn id="5" name="Valor Unitário" dataDxfId="29" totalsRowDxfId="28"/>
    <tableColumn id="6" name="Valor" dataDxfId="27" totalsRowDxfId="26"/>
    <tableColumn id="7" name="Estabelecimento" totalsRowFunction="count" dataDxfId="25" totalsRowDxfId="2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A1:F26" totalsRowShown="0" headerRowDxfId="23" headerRowBorderDxfId="22" tableBorderDxfId="21">
  <autoFilter ref="A1:F26"/>
  <tableColumns count="6">
    <tableColumn id="1" name="Product ID"/>
    <tableColumn id="2" name="Product"/>
    <tableColumn id="3" name="Group"/>
    <tableColumn id="7" name="Importancia"/>
    <tableColumn id="5" name="Supplier"/>
    <tableColumn id="6" name="Unit Cos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a25" displayName="Tabela25" ref="A1:H2" totalsRowShown="0" headerRowDxfId="20" headerRowBorderDxfId="19">
  <autoFilter ref="A1:H2"/>
  <tableColumns count="8">
    <tableColumn id="1" name="ID Cliente" dataDxfId="18"/>
    <tableColumn id="2" name="Nome Cliente" dataDxfId="17"/>
    <tableColumn id="11" name="Sexo" dataDxfId="7"/>
    <tableColumn id="7" name="Data Nascimento" dataDxfId="5"/>
    <tableColumn id="3" name="Idade" dataDxfId="6"/>
    <tableColumn id="4" name="Endereço" dataDxfId="16"/>
    <tableColumn id="5" name="Numero" dataDxfId="15"/>
    <tableColumn id="6" name="Telefone" dataDxfId="14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G2" totalsRowShown="0" headerRowDxfId="13" headerRowBorderDxfId="12">
  <autoFilter ref="A1:G2"/>
  <tableColumns count="7">
    <tableColumn id="1" name="ID Cliente"/>
    <tableColumn id="2" name="Cliente" dataDxfId="11"/>
    <tableColumn id="9" name="Data"/>
    <tableColumn id="3" name="Pedido" dataDxfId="10"/>
    <tableColumn id="4" name="Qtde."/>
    <tableColumn id="5" name="Valor Unitário" dataDxfId="9"/>
    <tableColumn id="6" name="Valor Total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rgb="FF00B050"/>
  </sheetPr>
  <dimension ref="B1:J20"/>
  <sheetViews>
    <sheetView showGridLines="0" tabSelected="1" workbookViewId="0">
      <selection activeCell="B5" sqref="B5"/>
    </sheetView>
  </sheetViews>
  <sheetFormatPr defaultRowHeight="15" x14ac:dyDescent="0.25"/>
  <cols>
    <col min="1" max="1" width="9.7109375" customWidth="1"/>
    <col min="2" max="2" width="52.42578125" customWidth="1"/>
    <col min="3" max="5" width="9.140625" hidden="1" customWidth="1"/>
    <col min="6" max="6" width="10.42578125" hidden="1" customWidth="1"/>
    <col min="7" max="7" width="10.42578125" customWidth="1"/>
    <col min="8" max="9" width="18.85546875" customWidth="1"/>
    <col min="10" max="10" width="18.5703125" customWidth="1"/>
  </cols>
  <sheetData>
    <row r="1" spans="2:10" ht="30.75" customHeight="1" x14ac:dyDescent="0.25">
      <c r="B1" s="59" t="s">
        <v>54</v>
      </c>
      <c r="C1" s="60"/>
      <c r="D1" s="60"/>
      <c r="E1" s="60"/>
      <c r="F1" s="60"/>
      <c r="G1" s="60"/>
      <c r="H1" s="60"/>
      <c r="I1" s="61"/>
      <c r="J1" s="28"/>
    </row>
    <row r="2" spans="2:10" ht="32.25" customHeight="1" thickBot="1" x14ac:dyDescent="0.3">
      <c r="B2" s="62"/>
      <c r="C2" s="63"/>
      <c r="D2" s="63"/>
      <c r="E2" s="63"/>
      <c r="F2" s="63"/>
      <c r="G2" s="63"/>
      <c r="H2" s="63"/>
      <c r="I2" s="64"/>
      <c r="J2" s="28"/>
    </row>
    <row r="3" spans="2:10" ht="24" customHeight="1" thickBot="1" x14ac:dyDescent="0.3">
      <c r="B3" s="38" t="s">
        <v>59</v>
      </c>
      <c r="C3" s="39"/>
      <c r="D3" s="39"/>
      <c r="E3" s="39"/>
      <c r="F3" s="40"/>
      <c r="G3" s="14"/>
      <c r="I3" s="37" t="s">
        <v>55</v>
      </c>
      <c r="J3" s="36">
        <f ca="1">TODAY()</f>
        <v>44277</v>
      </c>
    </row>
    <row r="4" spans="2:10" ht="18" customHeight="1" thickBot="1" x14ac:dyDescent="0.3">
      <c r="B4" s="15" t="s">
        <v>56</v>
      </c>
      <c r="C4" s="16"/>
      <c r="D4" s="16"/>
      <c r="E4" s="16"/>
      <c r="F4" s="17"/>
      <c r="G4" s="18" t="s">
        <v>7</v>
      </c>
      <c r="H4" s="18" t="s">
        <v>57</v>
      </c>
      <c r="I4" s="18" t="s">
        <v>69</v>
      </c>
      <c r="J4" s="19" t="s">
        <v>53</v>
      </c>
    </row>
    <row r="5" spans="2:10" x14ac:dyDescent="0.25">
      <c r="B5" s="20"/>
      <c r="C5" s="10"/>
      <c r="D5" s="10"/>
      <c r="E5" s="10"/>
      <c r="F5" s="11"/>
      <c r="G5" s="6"/>
      <c r="H5" s="4"/>
      <c r="I5" s="4"/>
      <c r="J5" s="6">
        <f t="shared" ref="J5:J19" si="0">G5*H5</f>
        <v>0</v>
      </c>
    </row>
    <row r="6" spans="2:10" x14ac:dyDescent="0.25">
      <c r="B6" s="21"/>
      <c r="C6" s="12"/>
      <c r="D6" s="12"/>
      <c r="E6" s="12"/>
      <c r="F6" s="13"/>
      <c r="G6" s="7"/>
      <c r="H6" s="3"/>
      <c r="I6" s="4"/>
      <c r="J6" s="6">
        <f t="shared" si="0"/>
        <v>0</v>
      </c>
    </row>
    <row r="7" spans="2:10" x14ac:dyDescent="0.25">
      <c r="B7" s="21"/>
      <c r="C7" s="12"/>
      <c r="D7" s="12"/>
      <c r="E7" s="12"/>
      <c r="F7" s="13"/>
      <c r="G7" s="7"/>
      <c r="H7" s="3"/>
      <c r="I7" s="4"/>
      <c r="J7" s="6">
        <f t="shared" si="0"/>
        <v>0</v>
      </c>
    </row>
    <row r="8" spans="2:10" x14ac:dyDescent="0.25">
      <c r="B8" s="21"/>
      <c r="C8" s="12"/>
      <c r="D8" s="12"/>
      <c r="E8" s="12"/>
      <c r="F8" s="13"/>
      <c r="G8" s="7"/>
      <c r="H8" s="3"/>
      <c r="I8" s="4"/>
      <c r="J8" s="6">
        <f t="shared" si="0"/>
        <v>0</v>
      </c>
    </row>
    <row r="9" spans="2:10" x14ac:dyDescent="0.25">
      <c r="B9" s="21"/>
      <c r="C9" s="12"/>
      <c r="D9" s="12"/>
      <c r="E9" s="12"/>
      <c r="F9" s="13"/>
      <c r="G9" s="7"/>
      <c r="H9" s="3"/>
      <c r="I9" s="4"/>
      <c r="J9" s="6">
        <f t="shared" si="0"/>
        <v>0</v>
      </c>
    </row>
    <row r="10" spans="2:10" x14ac:dyDescent="0.25">
      <c r="B10" s="21"/>
      <c r="C10" s="12"/>
      <c r="D10" s="12"/>
      <c r="E10" s="12"/>
      <c r="F10" s="13"/>
      <c r="G10" s="7"/>
      <c r="H10" s="3"/>
      <c r="I10" s="4"/>
      <c r="J10" s="6">
        <f t="shared" si="0"/>
        <v>0</v>
      </c>
    </row>
    <row r="11" spans="2:10" x14ac:dyDescent="0.25">
      <c r="B11" s="21"/>
      <c r="C11" s="12"/>
      <c r="D11" s="12"/>
      <c r="E11" s="12"/>
      <c r="F11" s="13"/>
      <c r="G11" s="7"/>
      <c r="H11" s="3"/>
      <c r="I11" s="4"/>
      <c r="J11" s="6">
        <f t="shared" si="0"/>
        <v>0</v>
      </c>
    </row>
    <row r="12" spans="2:10" x14ac:dyDescent="0.25">
      <c r="B12" s="21"/>
      <c r="C12" s="12"/>
      <c r="D12" s="12"/>
      <c r="E12" s="12"/>
      <c r="F12" s="13"/>
      <c r="G12" s="7"/>
      <c r="H12" s="3"/>
      <c r="I12" s="4"/>
      <c r="J12" s="6">
        <f t="shared" si="0"/>
        <v>0</v>
      </c>
    </row>
    <row r="13" spans="2:10" x14ac:dyDescent="0.25">
      <c r="B13" s="21"/>
      <c r="C13" s="12"/>
      <c r="D13" s="12"/>
      <c r="E13" s="12"/>
      <c r="F13" s="13"/>
      <c r="G13" s="7"/>
      <c r="H13" s="3"/>
      <c r="I13" s="4"/>
      <c r="J13" s="6">
        <f t="shared" si="0"/>
        <v>0</v>
      </c>
    </row>
    <row r="14" spans="2:10" x14ac:dyDescent="0.25">
      <c r="B14" s="21"/>
      <c r="C14" s="12"/>
      <c r="D14" s="12"/>
      <c r="E14" s="12"/>
      <c r="F14" s="13"/>
      <c r="G14" s="7"/>
      <c r="H14" s="3"/>
      <c r="I14" s="4"/>
      <c r="J14" s="6">
        <f t="shared" si="0"/>
        <v>0</v>
      </c>
    </row>
    <row r="15" spans="2:10" x14ac:dyDescent="0.25">
      <c r="B15" s="21"/>
      <c r="C15" s="12"/>
      <c r="D15" s="12"/>
      <c r="E15" s="12"/>
      <c r="F15" s="13"/>
      <c r="G15" s="7"/>
      <c r="H15" s="3"/>
      <c r="I15" s="4"/>
      <c r="J15" s="6">
        <f t="shared" si="0"/>
        <v>0</v>
      </c>
    </row>
    <row r="16" spans="2:10" x14ac:dyDescent="0.25">
      <c r="B16" s="21"/>
      <c r="C16" s="12"/>
      <c r="D16" s="12"/>
      <c r="E16" s="12"/>
      <c r="F16" s="13"/>
      <c r="G16" s="7"/>
      <c r="H16" s="3"/>
      <c r="I16" s="4"/>
      <c r="J16" s="6">
        <f t="shared" si="0"/>
        <v>0</v>
      </c>
    </row>
    <row r="17" spans="2:10" x14ac:dyDescent="0.25">
      <c r="B17" s="21"/>
      <c r="C17" s="12"/>
      <c r="D17" s="12"/>
      <c r="E17" s="12"/>
      <c r="F17" s="13"/>
      <c r="G17" s="7"/>
      <c r="H17" s="3"/>
      <c r="I17" s="4"/>
      <c r="J17" s="6">
        <f t="shared" si="0"/>
        <v>0</v>
      </c>
    </row>
    <row r="18" spans="2:10" x14ac:dyDescent="0.25">
      <c r="B18" s="21"/>
      <c r="C18" s="12"/>
      <c r="D18" s="12"/>
      <c r="E18" s="12"/>
      <c r="F18" s="13"/>
      <c r="G18" s="7"/>
      <c r="H18" s="3"/>
      <c r="I18" s="4"/>
      <c r="J18" s="6">
        <f t="shared" si="0"/>
        <v>0</v>
      </c>
    </row>
    <row r="19" spans="2:10" ht="15.75" thickBot="1" x14ac:dyDescent="0.3">
      <c r="B19" s="22"/>
      <c r="C19" s="14"/>
      <c r="D19" s="14"/>
      <c r="E19" s="14"/>
      <c r="F19" s="14"/>
      <c r="G19" s="8"/>
      <c r="H19" s="5"/>
      <c r="I19" s="34"/>
      <c r="J19" s="6">
        <f t="shared" si="0"/>
        <v>0</v>
      </c>
    </row>
    <row r="20" spans="2:10" ht="15.75" thickBot="1" x14ac:dyDescent="0.3">
      <c r="B20" s="14"/>
      <c r="C20" s="14"/>
      <c r="D20" s="14"/>
      <c r="E20" s="14"/>
      <c r="F20" s="14"/>
      <c r="G20" s="57" t="s">
        <v>58</v>
      </c>
      <c r="H20" s="58"/>
      <c r="I20" s="35"/>
      <c r="J20" s="9">
        <f>SUM(J5:J19)</f>
        <v>0</v>
      </c>
    </row>
  </sheetData>
  <mergeCells count="2">
    <mergeCell ref="G20:H20"/>
    <mergeCell ref="B1:I2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adastro_Compras.cadastro_compras">
                <anchor moveWithCells="1" sizeWithCells="1">
                  <from>
                    <xdr:col>13</xdr:col>
                    <xdr:colOff>200025</xdr:colOff>
                    <xdr:row>2</xdr:row>
                    <xdr:rowOff>76200</xdr:rowOff>
                  </from>
                  <to>
                    <xdr:col>15</xdr:col>
                    <xdr:colOff>66675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Insumos!$B$2:$B$26</xm:f>
          </x14:formula1>
          <xm:sqref>B5:F19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50"/>
  </sheetPr>
  <dimension ref="A1:U38"/>
  <sheetViews>
    <sheetView showGridLines="0" showRowColHeaders="0" topLeftCell="B1" workbookViewId="0">
      <pane ySplit="1" topLeftCell="A2" activePane="bottomLeft" state="frozen"/>
      <selection pane="bottomLeft" activeCell="F9" sqref="F9"/>
    </sheetView>
  </sheetViews>
  <sheetFormatPr defaultRowHeight="15" x14ac:dyDescent="0.25"/>
  <cols>
    <col min="1" max="1" width="14.28515625" hidden="1" customWidth="1"/>
    <col min="2" max="2" width="17" customWidth="1"/>
    <col min="3" max="3" width="25.42578125" style="2" customWidth="1"/>
    <col min="4" max="4" width="13.7109375" bestFit="1" customWidth="1"/>
    <col min="5" max="5" width="26.5703125" style="24" bestFit="1" customWidth="1"/>
    <col min="6" max="6" width="13.5703125" style="24" bestFit="1" customWidth="1"/>
    <col min="7" max="7" width="30.140625" bestFit="1" customWidth="1"/>
    <col min="8" max="8" width="11.28515625" customWidth="1"/>
  </cols>
  <sheetData>
    <row r="1" spans="1:21" s="50" customFormat="1" ht="36.75" customHeight="1" x14ac:dyDescent="0.25">
      <c r="A1" s="48" t="s">
        <v>15</v>
      </c>
      <c r="B1" s="49" t="s">
        <v>65</v>
      </c>
      <c r="C1" s="48" t="s">
        <v>71</v>
      </c>
      <c r="D1" s="48" t="s">
        <v>70</v>
      </c>
      <c r="E1" s="48" t="s">
        <v>72</v>
      </c>
      <c r="F1" s="48" t="s">
        <v>7</v>
      </c>
      <c r="G1" s="48" t="s">
        <v>69</v>
      </c>
    </row>
    <row r="2" spans="1:21" s="45" customFormat="1" ht="15.75" x14ac:dyDescent="0.25">
      <c r="B2" s="46"/>
      <c r="C2" s="51"/>
      <c r="E2" s="47"/>
      <c r="F2" s="47"/>
    </row>
    <row r="3" spans="1:21" ht="15.75" x14ac:dyDescent="0.25">
      <c r="A3" s="45"/>
      <c r="B3" s="46"/>
      <c r="C3" s="51"/>
      <c r="D3" s="45"/>
      <c r="E3" s="47"/>
      <c r="F3" s="47"/>
      <c r="G3" s="45"/>
    </row>
    <row r="4" spans="1:21" x14ac:dyDescent="0.25">
      <c r="B4" s="23"/>
    </row>
    <row r="5" spans="1:21" x14ac:dyDescent="0.25">
      <c r="B5" s="23"/>
    </row>
    <row r="6" spans="1:21" x14ac:dyDescent="0.25">
      <c r="B6" s="23"/>
    </row>
    <row r="7" spans="1:21" x14ac:dyDescent="0.25">
      <c r="B7" s="23"/>
    </row>
    <row r="8" spans="1:21" x14ac:dyDescent="0.25">
      <c r="B8" s="23"/>
    </row>
    <row r="9" spans="1:21" x14ac:dyDescent="0.25">
      <c r="B9" s="23"/>
    </row>
    <row r="10" spans="1:21" x14ac:dyDescent="0.25">
      <c r="B10" s="23"/>
      <c r="O10" s="41" t="s">
        <v>15</v>
      </c>
      <c r="P10" s="42" t="s">
        <v>65</v>
      </c>
      <c r="Q10" s="43" t="s">
        <v>71</v>
      </c>
      <c r="R10" s="43" t="s">
        <v>70</v>
      </c>
      <c r="S10" s="43" t="s">
        <v>72</v>
      </c>
      <c r="T10" s="43" t="s">
        <v>7</v>
      </c>
      <c r="U10" s="44" t="s">
        <v>69</v>
      </c>
    </row>
    <row r="11" spans="1:21" x14ac:dyDescent="0.25">
      <c r="B11" s="23"/>
    </row>
    <row r="12" spans="1:21" x14ac:dyDescent="0.25">
      <c r="B12" s="23"/>
    </row>
    <row r="13" spans="1:21" x14ac:dyDescent="0.25">
      <c r="B13" s="23"/>
    </row>
    <row r="14" spans="1:21" x14ac:dyDescent="0.25">
      <c r="B14" s="23"/>
    </row>
    <row r="15" spans="1:21" x14ac:dyDescent="0.25">
      <c r="B15" s="23"/>
    </row>
    <row r="16" spans="1:21" x14ac:dyDescent="0.25">
      <c r="B16" s="23"/>
    </row>
    <row r="17" spans="2:2" x14ac:dyDescent="0.25">
      <c r="B17" s="23"/>
    </row>
    <row r="18" spans="2:2" x14ac:dyDescent="0.25">
      <c r="B18" s="23"/>
    </row>
    <row r="19" spans="2:2" x14ac:dyDescent="0.25">
      <c r="B19" s="23"/>
    </row>
    <row r="20" spans="2:2" x14ac:dyDescent="0.25">
      <c r="B20" s="23"/>
    </row>
    <row r="21" spans="2:2" x14ac:dyDescent="0.25">
      <c r="B21" s="23"/>
    </row>
    <row r="22" spans="2:2" x14ac:dyDescent="0.25">
      <c r="B22" s="23"/>
    </row>
    <row r="23" spans="2:2" x14ac:dyDescent="0.25">
      <c r="B23" s="23"/>
    </row>
    <row r="24" spans="2:2" x14ac:dyDescent="0.25">
      <c r="B24" s="23"/>
    </row>
    <row r="25" spans="2:2" x14ac:dyDescent="0.25">
      <c r="B25" s="23"/>
    </row>
    <row r="26" spans="2:2" x14ac:dyDescent="0.25">
      <c r="B26" s="23"/>
    </row>
    <row r="27" spans="2:2" x14ac:dyDescent="0.25">
      <c r="B27" s="23"/>
    </row>
    <row r="28" spans="2:2" x14ac:dyDescent="0.25">
      <c r="B28" s="23"/>
    </row>
    <row r="29" spans="2:2" x14ac:dyDescent="0.25">
      <c r="B29" s="23"/>
    </row>
    <row r="30" spans="2:2" x14ac:dyDescent="0.25">
      <c r="B30" s="23"/>
    </row>
    <row r="31" spans="2:2" x14ac:dyDescent="0.25">
      <c r="B31" s="23"/>
    </row>
    <row r="32" spans="2:2" x14ac:dyDescent="0.25">
      <c r="B32" s="23"/>
    </row>
    <row r="33" spans="2:2" x14ac:dyDescent="0.25">
      <c r="B33" s="23"/>
    </row>
    <row r="34" spans="2:2" x14ac:dyDescent="0.25">
      <c r="B34" s="23"/>
    </row>
    <row r="35" spans="2:2" x14ac:dyDescent="0.25">
      <c r="B35" s="23"/>
    </row>
    <row r="36" spans="2:2" x14ac:dyDescent="0.25">
      <c r="B36" s="23"/>
    </row>
    <row r="37" spans="2:2" x14ac:dyDescent="0.25">
      <c r="B37" s="23"/>
    </row>
    <row r="38" spans="2:2" x14ac:dyDescent="0.25">
      <c r="B38" s="23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B050"/>
  </sheetPr>
  <dimension ref="A1:M26"/>
  <sheetViews>
    <sheetView workbookViewId="0">
      <pane ySplit="1" topLeftCell="A2" activePane="bottomLeft" state="frozen"/>
      <selection pane="bottomLeft" sqref="A1:F1"/>
    </sheetView>
  </sheetViews>
  <sheetFormatPr defaultRowHeight="15" x14ac:dyDescent="0.25"/>
  <cols>
    <col min="1" max="1" width="17.85546875" bestFit="1" customWidth="1"/>
    <col min="2" max="2" width="21.42578125" bestFit="1" customWidth="1"/>
    <col min="3" max="3" width="11" bestFit="1" customWidth="1"/>
    <col min="4" max="4" width="20.7109375" bestFit="1" customWidth="1"/>
    <col min="5" max="6" width="11.42578125" bestFit="1" customWidth="1"/>
    <col min="9" max="9" width="17.85546875" bestFit="1" customWidth="1"/>
    <col min="10" max="10" width="10.5703125" bestFit="1" customWidth="1"/>
    <col min="12" max="12" width="20.7109375" bestFit="1" customWidth="1"/>
    <col min="13" max="13" width="5.7109375" bestFit="1" customWidth="1"/>
  </cols>
  <sheetData>
    <row r="1" spans="1:13" x14ac:dyDescent="0.25">
      <c r="A1" s="30" t="s">
        <v>15</v>
      </c>
      <c r="B1" s="31" t="s">
        <v>16</v>
      </c>
      <c r="C1" s="31" t="s">
        <v>17</v>
      </c>
      <c r="D1" s="32" t="s">
        <v>52</v>
      </c>
      <c r="E1" s="31" t="s">
        <v>18</v>
      </c>
      <c r="F1" s="33" t="s">
        <v>19</v>
      </c>
    </row>
    <row r="2" spans="1:13" x14ac:dyDescent="0.25">
      <c r="B2" t="s">
        <v>24</v>
      </c>
      <c r="C2" t="s">
        <v>24</v>
      </c>
    </row>
    <row r="3" spans="1:13" x14ac:dyDescent="0.25">
      <c r="B3" t="s">
        <v>34</v>
      </c>
      <c r="C3" t="s">
        <v>24</v>
      </c>
    </row>
    <row r="4" spans="1:13" x14ac:dyDescent="0.25">
      <c r="B4" t="s">
        <v>31</v>
      </c>
      <c r="C4" t="s">
        <v>46</v>
      </c>
    </row>
    <row r="5" spans="1:13" x14ac:dyDescent="0.25">
      <c r="B5" t="s">
        <v>35</v>
      </c>
      <c r="C5" t="s">
        <v>45</v>
      </c>
    </row>
    <row r="6" spans="1:13" x14ac:dyDescent="0.25">
      <c r="B6" t="s">
        <v>44</v>
      </c>
      <c r="C6" t="s">
        <v>45</v>
      </c>
    </row>
    <row r="7" spans="1:13" x14ac:dyDescent="0.25">
      <c r="B7" t="s">
        <v>22</v>
      </c>
      <c r="C7" t="s">
        <v>33</v>
      </c>
    </row>
    <row r="8" spans="1:13" x14ac:dyDescent="0.25">
      <c r="B8" t="s">
        <v>23</v>
      </c>
      <c r="C8" t="s">
        <v>33</v>
      </c>
    </row>
    <row r="9" spans="1:13" x14ac:dyDescent="0.25">
      <c r="B9" t="s">
        <v>29</v>
      </c>
      <c r="C9" t="s">
        <v>33</v>
      </c>
      <c r="I9" s="2" t="s">
        <v>0</v>
      </c>
      <c r="J9" s="2" t="s">
        <v>7</v>
      </c>
      <c r="L9" t="s">
        <v>10</v>
      </c>
      <c r="M9" t="s">
        <v>7</v>
      </c>
    </row>
    <row r="10" spans="1:13" x14ac:dyDescent="0.25">
      <c r="B10" t="s">
        <v>30</v>
      </c>
      <c r="C10" t="s">
        <v>33</v>
      </c>
      <c r="I10" t="s">
        <v>1</v>
      </c>
      <c r="J10" s="1">
        <v>80</v>
      </c>
      <c r="L10" t="s">
        <v>13</v>
      </c>
      <c r="M10">
        <v>70</v>
      </c>
    </row>
    <row r="11" spans="1:13" x14ac:dyDescent="0.25">
      <c r="B11" t="s">
        <v>36</v>
      </c>
      <c r="C11" t="s">
        <v>33</v>
      </c>
      <c r="I11" t="s">
        <v>9</v>
      </c>
      <c r="J11" s="1">
        <v>80</v>
      </c>
      <c r="L11" t="s">
        <v>14</v>
      </c>
      <c r="M11">
        <v>110</v>
      </c>
    </row>
    <row r="12" spans="1:13" x14ac:dyDescent="0.25">
      <c r="B12" t="s">
        <v>37</v>
      </c>
      <c r="C12" t="s">
        <v>43</v>
      </c>
      <c r="I12" t="s">
        <v>8</v>
      </c>
      <c r="J12" s="1">
        <v>80</v>
      </c>
      <c r="L12" t="s">
        <v>11</v>
      </c>
    </row>
    <row r="13" spans="1:13" x14ac:dyDescent="0.25">
      <c r="B13" t="s">
        <v>40</v>
      </c>
      <c r="C13" t="s">
        <v>43</v>
      </c>
      <c r="I13" t="s">
        <v>6</v>
      </c>
      <c r="J13" s="1">
        <v>95</v>
      </c>
      <c r="L13" t="s">
        <v>12</v>
      </c>
    </row>
    <row r="14" spans="1:13" x14ac:dyDescent="0.25">
      <c r="B14" t="s">
        <v>26</v>
      </c>
      <c r="C14" t="s">
        <v>41</v>
      </c>
      <c r="I14" t="s">
        <v>3</v>
      </c>
      <c r="J14" s="1">
        <v>80</v>
      </c>
    </row>
    <row r="15" spans="1:13" x14ac:dyDescent="0.25">
      <c r="B15" t="s">
        <v>28</v>
      </c>
      <c r="C15" t="s">
        <v>41</v>
      </c>
      <c r="I15" t="s">
        <v>4</v>
      </c>
      <c r="J15" s="1">
        <v>90</v>
      </c>
    </row>
    <row r="16" spans="1:13" x14ac:dyDescent="0.25">
      <c r="B16" t="s">
        <v>39</v>
      </c>
      <c r="C16" t="s">
        <v>41</v>
      </c>
      <c r="I16" t="s">
        <v>2</v>
      </c>
      <c r="J16" s="1">
        <v>80</v>
      </c>
    </row>
    <row r="17" spans="2:10" x14ac:dyDescent="0.25">
      <c r="B17" t="s">
        <v>20</v>
      </c>
      <c r="C17" t="s">
        <v>32</v>
      </c>
      <c r="I17" t="s">
        <v>5</v>
      </c>
      <c r="J17" s="1">
        <v>100</v>
      </c>
    </row>
    <row r="18" spans="2:10" x14ac:dyDescent="0.25">
      <c r="B18" t="s">
        <v>21</v>
      </c>
      <c r="C18" t="s">
        <v>32</v>
      </c>
    </row>
    <row r="19" spans="2:10" x14ac:dyDescent="0.25">
      <c r="B19" t="s">
        <v>25</v>
      </c>
      <c r="C19" t="s">
        <v>32</v>
      </c>
    </row>
    <row r="20" spans="2:10" x14ac:dyDescent="0.25">
      <c r="B20" t="s">
        <v>27</v>
      </c>
      <c r="C20" t="s">
        <v>32</v>
      </c>
    </row>
    <row r="21" spans="2:10" x14ac:dyDescent="0.25">
      <c r="B21" t="s">
        <v>38</v>
      </c>
      <c r="C21" t="s">
        <v>32</v>
      </c>
    </row>
    <row r="22" spans="2:10" x14ac:dyDescent="0.25">
      <c r="B22" t="s">
        <v>42</v>
      </c>
      <c r="C22" t="s">
        <v>32</v>
      </c>
    </row>
    <row r="23" spans="2:10" x14ac:dyDescent="0.25">
      <c r="B23" t="s">
        <v>48</v>
      </c>
      <c r="C23" t="s">
        <v>51</v>
      </c>
    </row>
    <row r="24" spans="2:10" x14ac:dyDescent="0.25">
      <c r="B24" t="s">
        <v>47</v>
      </c>
      <c r="C24" t="s">
        <v>51</v>
      </c>
    </row>
    <row r="25" spans="2:10" x14ac:dyDescent="0.25">
      <c r="B25" t="s">
        <v>49</v>
      </c>
      <c r="C25" t="s">
        <v>51</v>
      </c>
    </row>
    <row r="26" spans="2:10" x14ac:dyDescent="0.25">
      <c r="B26" t="s">
        <v>50</v>
      </c>
      <c r="C26" t="s">
        <v>51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663300"/>
  </sheetPr>
  <dimension ref="A2:H8"/>
  <sheetViews>
    <sheetView workbookViewId="0">
      <selection activeCell="A9" sqref="A9"/>
    </sheetView>
  </sheetViews>
  <sheetFormatPr defaultRowHeight="15" x14ac:dyDescent="0.25"/>
  <cols>
    <col min="8" max="8" width="9.5703125" bestFit="1" customWidth="1"/>
  </cols>
  <sheetData>
    <row r="2" spans="1:8" ht="15.75" thickBot="1" x14ac:dyDescent="0.3"/>
    <row r="3" spans="1:8" x14ac:dyDescent="0.25">
      <c r="A3" s="20" t="s">
        <v>34</v>
      </c>
      <c r="B3" s="10"/>
      <c r="C3" s="10"/>
      <c r="D3" s="10"/>
      <c r="E3" s="11"/>
      <c r="F3" s="6">
        <v>2</v>
      </c>
      <c r="G3" s="4">
        <v>1</v>
      </c>
      <c r="H3" s="6">
        <f>F3*G3</f>
        <v>2</v>
      </c>
    </row>
    <row r="4" spans="1:8" x14ac:dyDescent="0.25">
      <c r="A4" s="21" t="s">
        <v>35</v>
      </c>
      <c r="B4" s="12"/>
      <c r="C4" s="12"/>
      <c r="D4" s="12"/>
      <c r="E4" s="13"/>
      <c r="F4" s="7">
        <v>2</v>
      </c>
      <c r="G4" s="3">
        <v>2</v>
      </c>
      <c r="H4" s="6">
        <f t="shared" ref="H4:H5" si="0">F4*G4</f>
        <v>4</v>
      </c>
    </row>
    <row r="5" spans="1:8" x14ac:dyDescent="0.25">
      <c r="A5" s="21" t="s">
        <v>24</v>
      </c>
      <c r="B5" s="12"/>
      <c r="C5" s="12"/>
      <c r="D5" s="12"/>
      <c r="E5" s="13"/>
      <c r="F5" s="7">
        <v>3</v>
      </c>
      <c r="G5" s="3">
        <v>4</v>
      </c>
      <c r="H5" s="6">
        <f t="shared" si="0"/>
        <v>12</v>
      </c>
    </row>
    <row r="7" spans="1:8" x14ac:dyDescent="0.25">
      <c r="A7" t="s">
        <v>78</v>
      </c>
    </row>
    <row r="8" spans="1:8" x14ac:dyDescent="0.25">
      <c r="A8" t="s">
        <v>79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Insumos!$B$2:$B$26</xm:f>
          </x14:formula1>
          <xm:sqref>A3:E5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rgb="FF663300"/>
  </sheetPr>
  <dimension ref="A1:AA5"/>
  <sheetViews>
    <sheetView showGridLines="0" topLeftCell="B1" workbookViewId="0">
      <pane ySplit="1" topLeftCell="A2" activePane="bottomLeft" state="frozen"/>
      <selection pane="bottomLeft" activeCell="D24" sqref="D24"/>
    </sheetView>
  </sheetViews>
  <sheetFormatPr defaultRowHeight="15" x14ac:dyDescent="0.25"/>
  <cols>
    <col min="1" max="1" width="15.140625" style="2" customWidth="1"/>
    <col min="2" max="2" width="23.140625" style="25" bestFit="1" customWidth="1"/>
    <col min="3" max="3" width="11.85546875" style="25" bestFit="1" customWidth="1"/>
    <col min="4" max="4" width="24" style="25" customWidth="1"/>
    <col min="5" max="5" width="12.85546875" style="26" bestFit="1" customWidth="1"/>
    <col min="6" max="6" width="18" style="25" bestFit="1" customWidth="1"/>
    <col min="7" max="7" width="16" style="27" bestFit="1" customWidth="1"/>
    <col min="8" max="8" width="16.85546875" style="25" bestFit="1" customWidth="1"/>
    <col min="10" max="10" width="2.85546875" customWidth="1"/>
    <col min="11" max="11" width="15.85546875" bestFit="1" customWidth="1"/>
    <col min="12" max="12" width="10.7109375" hidden="1" customWidth="1"/>
    <col min="13" max="13" width="9.140625" hidden="1" customWidth="1"/>
    <col min="14" max="14" width="10.7109375" bestFit="1" customWidth="1"/>
    <col min="15" max="15" width="14.28515625" customWidth="1"/>
    <col min="16" max="16" width="10.7109375" bestFit="1" customWidth="1"/>
    <col min="27" max="27" width="9.140625" customWidth="1"/>
  </cols>
  <sheetData>
    <row r="1" spans="1:27" ht="40.5" customHeight="1" x14ac:dyDescent="0.25">
      <c r="A1" s="29" t="s">
        <v>60</v>
      </c>
      <c r="B1" s="29" t="s">
        <v>61</v>
      </c>
      <c r="C1" s="29" t="s">
        <v>68</v>
      </c>
      <c r="D1" s="29" t="s">
        <v>80</v>
      </c>
      <c r="E1" s="29" t="s">
        <v>62</v>
      </c>
      <c r="F1" s="29" t="s">
        <v>63</v>
      </c>
      <c r="G1" s="29" t="s">
        <v>64</v>
      </c>
      <c r="H1" s="29" t="s">
        <v>67</v>
      </c>
      <c r="K1" s="65">
        <f ca="1">TODAY()</f>
        <v>44277</v>
      </c>
      <c r="P1" s="23"/>
      <c r="AA1" s="2">
        <f>COUNT(Tabela25[ID Cliente]) +1</f>
        <v>2</v>
      </c>
    </row>
    <row r="2" spans="1:27" x14ac:dyDescent="0.25">
      <c r="A2" s="2">
        <v>1</v>
      </c>
      <c r="B2" s="25" t="s">
        <v>73</v>
      </c>
      <c r="C2" s="25" t="s">
        <v>74</v>
      </c>
      <c r="D2" s="56">
        <v>34923</v>
      </c>
      <c r="E2" s="26">
        <v>26</v>
      </c>
      <c r="F2" s="25" t="s">
        <v>75</v>
      </c>
      <c r="G2" s="27">
        <v>27</v>
      </c>
      <c r="H2" s="25">
        <v>67999919472</v>
      </c>
      <c r="L2" s="23">
        <f ca="1">DATE(YEAR(Tabela25[Data Nascimento])+DATEDIF(Tabela25[Data Nascimento],$K$1,"Y")+1,MONTH(Tabela25[Data Nascimento]),DAY(Tabela25[Data Nascimento]))</f>
        <v>44420</v>
      </c>
      <c r="M2">
        <f ca="1">DATEDIF(K1,L2,"D")</f>
        <v>143</v>
      </c>
      <c r="N2" s="23"/>
      <c r="O2" s="66"/>
      <c r="P2" s="23"/>
    </row>
    <row r="4" spans="1:27" ht="15.75" x14ac:dyDescent="0.25">
      <c r="N4" s="67"/>
    </row>
    <row r="5" spans="1:27" x14ac:dyDescent="0.25">
      <c r="N5" s="23"/>
    </row>
  </sheetData>
  <conditionalFormatting sqref="B2:H2">
    <cfRule type="expression" dxfId="1" priority="1">
      <formula>$M$2&lt;7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adastro_de_cliente.cadastro_de_cliente">
                <anchor moveWithCells="1" sizeWithCells="1">
                  <from>
                    <xdr:col>13</xdr:col>
                    <xdr:colOff>9525</xdr:colOff>
                    <xdr:row>0</xdr:row>
                    <xdr:rowOff>47625</xdr:rowOff>
                  </from>
                  <to>
                    <xdr:col>14</xdr:col>
                    <xdr:colOff>638175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rgb="FF663300"/>
  </sheetPr>
  <dimension ref="B1:J20"/>
  <sheetViews>
    <sheetView showGridLines="0" workbookViewId="0">
      <selection activeCell="G20" sqref="G20:H20"/>
    </sheetView>
  </sheetViews>
  <sheetFormatPr defaultRowHeight="15" x14ac:dyDescent="0.25"/>
  <cols>
    <col min="1" max="1" width="9.7109375" customWidth="1"/>
    <col min="2" max="2" width="42.140625" customWidth="1"/>
    <col min="3" max="5" width="9.140625" hidden="1" customWidth="1"/>
    <col min="6" max="6" width="10.42578125" hidden="1" customWidth="1"/>
    <col min="7" max="7" width="31.5703125" bestFit="1" customWidth="1"/>
    <col min="8" max="8" width="10.7109375" customWidth="1"/>
    <col min="9" max="9" width="18.85546875" customWidth="1"/>
    <col min="10" max="10" width="18.5703125" customWidth="1"/>
  </cols>
  <sheetData>
    <row r="1" spans="2:10" ht="30.75" customHeight="1" x14ac:dyDescent="0.25">
      <c r="B1" s="59" t="s">
        <v>76</v>
      </c>
      <c r="C1" s="60"/>
      <c r="D1" s="60"/>
      <c r="E1" s="60"/>
      <c r="F1" s="60"/>
      <c r="G1" s="60"/>
      <c r="H1" s="60"/>
      <c r="I1" s="61"/>
      <c r="J1" s="28"/>
    </row>
    <row r="2" spans="2:10" ht="32.25" customHeight="1" thickBot="1" x14ac:dyDescent="0.3">
      <c r="B2" s="62"/>
      <c r="C2" s="63"/>
      <c r="D2" s="63"/>
      <c r="E2" s="63"/>
      <c r="F2" s="63"/>
      <c r="G2" s="63"/>
      <c r="H2" s="63"/>
      <c r="I2" s="64"/>
      <c r="J2" s="28"/>
    </row>
    <row r="3" spans="2:10" ht="24" customHeight="1" thickBot="1" x14ac:dyDescent="0.3">
      <c r="B3" s="38" t="s">
        <v>59</v>
      </c>
      <c r="C3" s="39"/>
      <c r="D3" s="39"/>
      <c r="E3" s="39"/>
      <c r="F3" s="40"/>
      <c r="G3" s="14"/>
      <c r="I3" s="37" t="s">
        <v>55</v>
      </c>
      <c r="J3" s="36">
        <f ca="1">TODAY()</f>
        <v>44277</v>
      </c>
    </row>
    <row r="4" spans="2:10" ht="18" customHeight="1" thickBot="1" x14ac:dyDescent="0.3">
      <c r="B4" s="15" t="s">
        <v>77</v>
      </c>
      <c r="C4" s="16"/>
      <c r="D4" s="16"/>
      <c r="E4" s="16"/>
      <c r="F4" s="17"/>
      <c r="G4" s="18" t="s">
        <v>66</v>
      </c>
      <c r="H4" s="18" t="s">
        <v>57</v>
      </c>
      <c r="I4" s="18" t="s">
        <v>72</v>
      </c>
      <c r="J4" s="19" t="s">
        <v>53</v>
      </c>
    </row>
    <row r="5" spans="2:10" x14ac:dyDescent="0.25">
      <c r="B5" s="20"/>
      <c r="C5" s="10"/>
      <c r="D5" s="10"/>
      <c r="E5" s="10"/>
      <c r="F5" s="11"/>
      <c r="G5" s="6"/>
      <c r="H5" s="4"/>
      <c r="I5" s="6"/>
      <c r="J5" s="6">
        <f>H5*I5</f>
        <v>0</v>
      </c>
    </row>
    <row r="6" spans="2:10" x14ac:dyDescent="0.25">
      <c r="B6" s="21"/>
      <c r="C6" s="12"/>
      <c r="D6" s="12"/>
      <c r="E6" s="12"/>
      <c r="F6" s="13"/>
      <c r="G6" s="7"/>
      <c r="H6" s="3"/>
      <c r="I6" s="3"/>
      <c r="J6" s="6">
        <f t="shared" ref="J6:J19" si="0">G6*H6</f>
        <v>0</v>
      </c>
    </row>
    <row r="7" spans="2:10" x14ac:dyDescent="0.25">
      <c r="B7" s="21"/>
      <c r="C7" s="12"/>
      <c r="D7" s="12"/>
      <c r="E7" s="12"/>
      <c r="F7" s="13"/>
      <c r="G7" s="7"/>
      <c r="H7" s="3"/>
      <c r="I7" s="6"/>
      <c r="J7" s="6">
        <f t="shared" si="0"/>
        <v>0</v>
      </c>
    </row>
    <row r="8" spans="2:10" x14ac:dyDescent="0.25">
      <c r="B8" s="21"/>
      <c r="C8" s="12"/>
      <c r="D8" s="12"/>
      <c r="E8" s="12"/>
      <c r="F8" s="13"/>
      <c r="G8" s="7"/>
      <c r="H8" s="3"/>
      <c r="I8" s="6"/>
      <c r="J8" s="6">
        <f t="shared" si="0"/>
        <v>0</v>
      </c>
    </row>
    <row r="9" spans="2:10" x14ac:dyDescent="0.25">
      <c r="B9" s="21"/>
      <c r="C9" s="12"/>
      <c r="D9" s="12"/>
      <c r="E9" s="12"/>
      <c r="F9" s="13"/>
      <c r="G9" s="7"/>
      <c r="H9" s="3"/>
      <c r="I9" s="6"/>
      <c r="J9" s="6">
        <f t="shared" si="0"/>
        <v>0</v>
      </c>
    </row>
    <row r="10" spans="2:10" x14ac:dyDescent="0.25">
      <c r="B10" s="21"/>
      <c r="C10" s="12"/>
      <c r="D10" s="12"/>
      <c r="E10" s="12"/>
      <c r="F10" s="13"/>
      <c r="G10" s="7"/>
      <c r="H10" s="3"/>
      <c r="I10" s="6"/>
      <c r="J10" s="6">
        <f t="shared" si="0"/>
        <v>0</v>
      </c>
    </row>
    <row r="11" spans="2:10" x14ac:dyDescent="0.25">
      <c r="B11" s="21"/>
      <c r="C11" s="12"/>
      <c r="D11" s="12"/>
      <c r="E11" s="12"/>
      <c r="F11" s="13"/>
      <c r="G11" s="7"/>
      <c r="H11" s="3"/>
      <c r="I11" s="6"/>
      <c r="J11" s="6">
        <f t="shared" si="0"/>
        <v>0</v>
      </c>
    </row>
    <row r="12" spans="2:10" x14ac:dyDescent="0.25">
      <c r="B12" s="21"/>
      <c r="C12" s="12"/>
      <c r="D12" s="12"/>
      <c r="E12" s="12"/>
      <c r="F12" s="13"/>
      <c r="G12" s="7"/>
      <c r="H12" s="3"/>
      <c r="I12" s="6"/>
      <c r="J12" s="6">
        <f t="shared" si="0"/>
        <v>0</v>
      </c>
    </row>
    <row r="13" spans="2:10" x14ac:dyDescent="0.25">
      <c r="B13" s="21"/>
      <c r="C13" s="12"/>
      <c r="D13" s="12"/>
      <c r="E13" s="12"/>
      <c r="F13" s="13"/>
      <c r="G13" s="7"/>
      <c r="H13" s="3"/>
      <c r="I13" s="6"/>
      <c r="J13" s="6">
        <f t="shared" si="0"/>
        <v>0</v>
      </c>
    </row>
    <row r="14" spans="2:10" x14ac:dyDescent="0.25">
      <c r="B14" s="21"/>
      <c r="C14" s="12"/>
      <c r="D14" s="12"/>
      <c r="E14" s="12"/>
      <c r="F14" s="13"/>
      <c r="G14" s="7"/>
      <c r="H14" s="3"/>
      <c r="I14" s="6"/>
      <c r="J14" s="6">
        <f t="shared" si="0"/>
        <v>0</v>
      </c>
    </row>
    <row r="15" spans="2:10" x14ac:dyDescent="0.25">
      <c r="B15" s="21"/>
      <c r="C15" s="12"/>
      <c r="D15" s="12"/>
      <c r="E15" s="12"/>
      <c r="F15" s="13"/>
      <c r="G15" s="7"/>
      <c r="H15" s="3"/>
      <c r="I15" s="6"/>
      <c r="J15" s="6">
        <f t="shared" si="0"/>
        <v>0</v>
      </c>
    </row>
    <row r="16" spans="2:10" x14ac:dyDescent="0.25">
      <c r="B16" s="21"/>
      <c r="C16" s="12"/>
      <c r="D16" s="12"/>
      <c r="E16" s="12"/>
      <c r="F16" s="13"/>
      <c r="G16" s="7"/>
      <c r="H16" s="3"/>
      <c r="I16" s="6"/>
      <c r="J16" s="6">
        <f t="shared" si="0"/>
        <v>0</v>
      </c>
    </row>
    <row r="17" spans="2:10" x14ac:dyDescent="0.25">
      <c r="B17" s="21"/>
      <c r="C17" s="12"/>
      <c r="D17" s="12"/>
      <c r="E17" s="12"/>
      <c r="F17" s="13"/>
      <c r="G17" s="7"/>
      <c r="H17" s="3"/>
      <c r="I17" s="6"/>
      <c r="J17" s="6">
        <f t="shared" si="0"/>
        <v>0</v>
      </c>
    </row>
    <row r="18" spans="2:10" x14ac:dyDescent="0.25">
      <c r="B18" s="21"/>
      <c r="C18" s="12"/>
      <c r="D18" s="12"/>
      <c r="E18" s="12"/>
      <c r="F18" s="13"/>
      <c r="G18" s="7"/>
      <c r="H18" s="3"/>
      <c r="I18" s="6"/>
      <c r="J18" s="6">
        <f t="shared" si="0"/>
        <v>0</v>
      </c>
    </row>
    <row r="19" spans="2:10" ht="15.75" thickBot="1" x14ac:dyDescent="0.3">
      <c r="B19" s="22"/>
      <c r="C19" s="14"/>
      <c r="D19" s="14"/>
      <c r="E19" s="14"/>
      <c r="F19" s="14"/>
      <c r="G19" s="8"/>
      <c r="H19" s="5"/>
      <c r="I19" s="52"/>
      <c r="J19" s="6">
        <f t="shared" si="0"/>
        <v>0</v>
      </c>
    </row>
    <row r="20" spans="2:10" ht="15.75" thickBot="1" x14ac:dyDescent="0.3">
      <c r="B20" s="14"/>
      <c r="C20" s="14"/>
      <c r="D20" s="14"/>
      <c r="E20" s="14"/>
      <c r="F20" s="14"/>
      <c r="G20" s="57" t="s">
        <v>58</v>
      </c>
      <c r="H20" s="58"/>
      <c r="I20" s="35"/>
      <c r="J20" s="9">
        <f>SUM(J5:J19)</f>
        <v>0</v>
      </c>
    </row>
  </sheetData>
  <mergeCells count="2">
    <mergeCell ref="B1:I2"/>
    <mergeCell ref="G20:H20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adastro_Pedido_Cliente.cadastro_pedido_cliente">
                <anchor moveWithCells="1" sizeWithCells="1">
                  <from>
                    <xdr:col>13</xdr:col>
                    <xdr:colOff>200025</xdr:colOff>
                    <xdr:row>2</xdr:row>
                    <xdr:rowOff>76200</xdr:rowOff>
                  </from>
                  <to>
                    <xdr:col>15</xdr:col>
                    <xdr:colOff>66675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Insumos!$B$2:$B$26</xm:f>
          </x14:formula1>
          <xm:sqref>C5:F19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663300"/>
  </sheetPr>
  <dimension ref="A1:G4"/>
  <sheetViews>
    <sheetView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1" max="1" width="19.7109375" bestFit="1" customWidth="1"/>
    <col min="2" max="2" width="29.7109375" style="25" customWidth="1"/>
    <col min="3" max="3" width="17.28515625" customWidth="1"/>
    <col min="4" max="4" width="36.7109375" customWidth="1"/>
    <col min="5" max="5" width="13.140625" customWidth="1"/>
    <col min="6" max="6" width="23.85546875" bestFit="1" customWidth="1"/>
    <col min="7" max="7" width="21.7109375" bestFit="1" customWidth="1"/>
  </cols>
  <sheetData>
    <row r="1" spans="1:7" s="50" customFormat="1" ht="38.25" customHeight="1" x14ac:dyDescent="0.25">
      <c r="A1" s="53" t="s">
        <v>60</v>
      </c>
      <c r="B1" s="53" t="s">
        <v>77</v>
      </c>
      <c r="C1" s="55" t="s">
        <v>65</v>
      </c>
      <c r="D1" s="53" t="s">
        <v>66</v>
      </c>
      <c r="E1" s="53" t="s">
        <v>57</v>
      </c>
      <c r="F1" s="54" t="s">
        <v>72</v>
      </c>
      <c r="G1" s="54" t="s">
        <v>53</v>
      </c>
    </row>
    <row r="2" spans="1:7" x14ac:dyDescent="0.25">
      <c r="C2" s="23"/>
      <c r="D2" s="25"/>
      <c r="F2" s="24"/>
      <c r="G2" s="24"/>
    </row>
    <row r="3" spans="1:7" x14ac:dyDescent="0.25">
      <c r="C3" s="23"/>
      <c r="D3" s="25"/>
      <c r="F3" s="24"/>
      <c r="G3" s="24"/>
    </row>
    <row r="4" spans="1:7" x14ac:dyDescent="0.25">
      <c r="C4" s="23"/>
      <c r="D4" s="25"/>
      <c r="F4" s="24"/>
      <c r="G4" s="24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Pedido de Compra</vt:lpstr>
      <vt:lpstr>Compra insumos</vt:lpstr>
      <vt:lpstr>Insumos</vt:lpstr>
      <vt:lpstr>Produtos</vt:lpstr>
      <vt:lpstr>Cadastro Cliente</vt:lpstr>
      <vt:lpstr>Cadastro Pedido Cliente</vt:lpstr>
      <vt:lpstr>Pedido Clientes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Samsung</cp:lastModifiedBy>
  <dcterms:created xsi:type="dcterms:W3CDTF">2021-02-09T16:46:53Z</dcterms:created>
  <dcterms:modified xsi:type="dcterms:W3CDTF">2021-03-22T13:39:31Z</dcterms:modified>
</cp:coreProperties>
</file>